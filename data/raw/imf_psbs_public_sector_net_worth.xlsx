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JOURNAL RESEARCHES\G7\DATA\for harvard dataverse\"/>
    </mc:Choice>
  </mc:AlternateContent>
  <xr:revisionPtr revIDLastSave="0" documentId="8_{CA167925-B8E5-4D66-8883-07FAD79EDE8B}" xr6:coauthVersionLast="47" xr6:coauthVersionMax="47" xr10:uidLastSave="{00000000-0000-0000-0000-000000000000}"/>
  <bookViews>
    <workbookView xWindow="-108" yWindow="-108" windowWidth="23256" windowHeight="12456" xr2:uid="{662E4E3A-4E52-4624-993F-CB54A90D4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5" i="1"/>
  <c r="D4" i="1"/>
</calcChain>
</file>

<file path=xl/sharedStrings.xml><?xml version="1.0" encoding="utf-8"?>
<sst xmlns="http://schemas.openxmlformats.org/spreadsheetml/2006/main" count="31" uniqueCount="13">
  <si>
    <t>GDP</t>
  </si>
  <si>
    <t>PSBS</t>
  </si>
  <si>
    <t>PSNW</t>
  </si>
  <si>
    <t>year</t>
  </si>
  <si>
    <t>USA</t>
  </si>
  <si>
    <t>CANADA</t>
  </si>
  <si>
    <t>FRANCE</t>
  </si>
  <si>
    <t>GERMANY</t>
  </si>
  <si>
    <t>ITALY</t>
  </si>
  <si>
    <t>UNITED KINGDOM</t>
  </si>
  <si>
    <t>JAPAN</t>
  </si>
  <si>
    <t xml:space="preserve">REFERENCES: IMF </t>
  </si>
  <si>
    <t>Public Sector Net Worth (G7 Countries, Percent of GDP, 2000-2020)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</si>
</sst>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D577-2CCC-4C9D-9409-3D1AB2AC842F}">
  <dimension ref="A1:V26"/>
  <sheetViews>
    <sheetView tabSelected="1" workbookViewId="0">
      <selection activeCell="J17" sqref="J17"/>
    </sheetView>
  </sheetViews>
  <sheetFormatPr defaultRowHeight="14.4" x14ac:dyDescent="0.3"/>
  <sheetData>
    <row r="1" spans="1:22" ht="28.2" customHeight="1" x14ac:dyDescent="0.3">
      <c r="A1" s="4" t="s">
        <v>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x14ac:dyDescent="0.3">
      <c r="A2" s="5" t="s">
        <v>3</v>
      </c>
      <c r="B2" s="6" t="s">
        <v>6</v>
      </c>
      <c r="C2" s="6"/>
      <c r="D2" s="6"/>
      <c r="E2" s="5" t="s">
        <v>7</v>
      </c>
      <c r="F2" s="5"/>
      <c r="G2" s="5"/>
      <c r="H2" s="5" t="s">
        <v>8</v>
      </c>
      <c r="I2" s="5"/>
      <c r="J2" s="5"/>
      <c r="K2" s="5" t="s">
        <v>9</v>
      </c>
      <c r="L2" s="5"/>
      <c r="M2" s="5"/>
      <c r="N2" s="5" t="s">
        <v>10</v>
      </c>
      <c r="O2" s="5"/>
      <c r="P2" s="5"/>
      <c r="Q2" s="5" t="s">
        <v>5</v>
      </c>
      <c r="R2" s="5"/>
      <c r="S2" s="5"/>
      <c r="T2" s="5" t="s">
        <v>4</v>
      </c>
      <c r="U2" s="5"/>
      <c r="V2" s="5"/>
    </row>
    <row r="3" spans="1:22" x14ac:dyDescent="0.3">
      <c r="A3" s="5"/>
      <c r="B3" s="1" t="s">
        <v>0</v>
      </c>
      <c r="C3" s="1" t="s">
        <v>1</v>
      </c>
      <c r="D3" s="1" t="s">
        <v>2</v>
      </c>
      <c r="E3" s="1" t="s">
        <v>0</v>
      </c>
      <c r="F3" s="1" t="s">
        <v>1</v>
      </c>
      <c r="G3" s="1" t="s">
        <v>2</v>
      </c>
      <c r="H3" s="1" t="s">
        <v>0</v>
      </c>
      <c r="I3" s="1" t="s">
        <v>1</v>
      </c>
      <c r="J3" s="1" t="s">
        <v>2</v>
      </c>
      <c r="K3" s="1" t="s">
        <v>0</v>
      </c>
      <c r="L3" s="1" t="s">
        <v>1</v>
      </c>
      <c r="M3" s="1" t="s">
        <v>2</v>
      </c>
      <c r="N3" s="1" t="s">
        <v>0</v>
      </c>
      <c r="O3" s="1" t="s">
        <v>1</v>
      </c>
      <c r="P3" s="1" t="s">
        <v>2</v>
      </c>
      <c r="Q3" s="1" t="s">
        <v>0</v>
      </c>
      <c r="R3" s="1" t="s">
        <v>1</v>
      </c>
      <c r="S3" s="1" t="s">
        <v>2</v>
      </c>
      <c r="T3" s="1" t="s">
        <v>0</v>
      </c>
      <c r="U3" s="1" t="s">
        <v>1</v>
      </c>
      <c r="V3" s="1" t="s">
        <v>2</v>
      </c>
    </row>
    <row r="4" spans="1:22" x14ac:dyDescent="0.3">
      <c r="A4" s="1">
        <v>2000</v>
      </c>
      <c r="B4" s="1">
        <v>1478.5864999999999</v>
      </c>
      <c r="C4" s="1">
        <v>-369.3552507</v>
      </c>
      <c r="D4" s="1">
        <f>C4/B4*100</f>
        <v>-24.980293726474578</v>
      </c>
      <c r="E4" s="1">
        <v>2109</v>
      </c>
      <c r="F4" s="1">
        <v>-187.283511</v>
      </c>
      <c r="G4" s="1">
        <f>F4/E4*100</f>
        <v>-8.8802044096728299</v>
      </c>
      <c r="H4" s="1">
        <v>1241.5128</v>
      </c>
      <c r="I4" s="1">
        <v>-2191.1828580000001</v>
      </c>
      <c r="J4" s="1">
        <f>I4/H4*100</f>
        <v>-176.49297357224188</v>
      </c>
      <c r="K4" s="1">
        <v>1100.752</v>
      </c>
      <c r="L4" s="1">
        <v>-352.37089650000001</v>
      </c>
      <c r="M4" s="1">
        <f>L4/K4*100</f>
        <v>-32.011833410250453</v>
      </c>
      <c r="N4" s="1">
        <v>535693.55000000005</v>
      </c>
      <c r="O4" s="1">
        <v>219398.8818</v>
      </c>
      <c r="P4" s="1">
        <f>O4/N4*100</f>
        <v>40.95604320791243</v>
      </c>
      <c r="Q4" s="1">
        <v>1106.0709999999999</v>
      </c>
      <c r="R4" s="1">
        <v>-170.24531329999999</v>
      </c>
      <c r="S4" s="1">
        <f>R4/Q4*100</f>
        <v>-15.391897382717746</v>
      </c>
      <c r="T4" s="1">
        <v>10250</v>
      </c>
      <c r="U4" s="1">
        <v>549.13785170000006</v>
      </c>
      <c r="V4" s="1">
        <f>U4/T4*100</f>
        <v>5.3574424556097568</v>
      </c>
    </row>
    <row r="5" spans="1:22" x14ac:dyDescent="0.3">
      <c r="A5" s="1">
        <v>2001</v>
      </c>
      <c r="B5" s="1">
        <v>1538.1981000000001</v>
      </c>
      <c r="C5" s="1">
        <v>-391.15417239999999</v>
      </c>
      <c r="D5" s="1">
        <f>C5/B5*100</f>
        <v>-25.429375605131742</v>
      </c>
      <c r="E5" s="1">
        <v>2173</v>
      </c>
      <c r="F5" s="1">
        <v>-257.37667210000001</v>
      </c>
      <c r="G5" s="1">
        <f t="shared" ref="G5:G24" si="0">F5/E5*100</f>
        <v>-11.844301523239761</v>
      </c>
      <c r="H5" s="1">
        <v>1304.1369</v>
      </c>
      <c r="I5" s="1">
        <v>-2312.0829189999999</v>
      </c>
      <c r="J5" s="1">
        <f t="shared" ref="J5:J24" si="1">I5/H5*100</f>
        <v>-177.28835975732301</v>
      </c>
      <c r="K5" s="1">
        <v>1146.135</v>
      </c>
      <c r="L5" s="1">
        <v>-387.17297869999999</v>
      </c>
      <c r="M5" s="1">
        <f t="shared" ref="M5:M24" si="2">L5/K5*100</f>
        <v>-33.780748227739316</v>
      </c>
      <c r="N5" s="1">
        <v>531940.25</v>
      </c>
      <c r="O5" s="1">
        <v>183887.0062</v>
      </c>
      <c r="P5" s="1">
        <f t="shared" ref="P5:P24" si="3">O5/N5*100</f>
        <v>34.569109256161759</v>
      </c>
      <c r="Q5" s="1">
        <v>1144.5429999999999</v>
      </c>
      <c r="R5" s="1">
        <v>-188.45676330000001</v>
      </c>
      <c r="S5" s="1">
        <f t="shared" ref="S5:S24" si="4">R5/Q5*100</f>
        <v>-16.46567785570311</v>
      </c>
      <c r="T5" s="1">
        <v>10580</v>
      </c>
      <c r="U5" s="1">
        <v>1230.783874</v>
      </c>
      <c r="V5" s="1">
        <f t="shared" ref="V5:V24" si="5">U5/T5*100</f>
        <v>11.633117901701324</v>
      </c>
    </row>
    <row r="6" spans="1:22" x14ac:dyDescent="0.3">
      <c r="A6" s="1">
        <v>2002</v>
      </c>
      <c r="B6" s="1">
        <v>1587.8277</v>
      </c>
      <c r="C6" s="1">
        <v>-425.48047680000002</v>
      </c>
      <c r="D6" s="1">
        <f t="shared" ref="D6:D24" si="6">C6/B6*100</f>
        <v>-26.79638834868544</v>
      </c>
      <c r="E6" s="1">
        <v>2198</v>
      </c>
      <c r="F6" s="1">
        <v>-369.08930229999999</v>
      </c>
      <c r="G6" s="1">
        <f t="shared" si="0"/>
        <v>-16.7920519699727</v>
      </c>
      <c r="H6" s="1">
        <v>1350.2589</v>
      </c>
      <c r="I6" s="1">
        <v>-2390.880177</v>
      </c>
      <c r="J6" s="1">
        <f t="shared" si="1"/>
        <v>-177.06827757254553</v>
      </c>
      <c r="K6" s="1">
        <v>1191.4390000000001</v>
      </c>
      <c r="L6" s="1">
        <v>-457.48020300000002</v>
      </c>
      <c r="M6" s="1">
        <f t="shared" si="2"/>
        <v>-38.397282865509688</v>
      </c>
      <c r="N6" s="1">
        <v>524581.85</v>
      </c>
      <c r="O6" s="1">
        <v>142448.09109999999</v>
      </c>
      <c r="P6" s="1">
        <f t="shared" si="3"/>
        <v>27.154597723882361</v>
      </c>
      <c r="Q6" s="1">
        <v>1193.694</v>
      </c>
      <c r="R6" s="1">
        <v>-246.69276619999999</v>
      </c>
      <c r="S6" s="1">
        <f t="shared" si="4"/>
        <v>-20.666332091809121</v>
      </c>
      <c r="T6" s="1">
        <v>10930</v>
      </c>
      <c r="U6" s="1">
        <v>654.57154709999998</v>
      </c>
      <c r="V6" s="1">
        <f t="shared" si="5"/>
        <v>5.9887607236962488</v>
      </c>
    </row>
    <row r="7" spans="1:22" x14ac:dyDescent="0.3">
      <c r="A7" s="1">
        <v>2003</v>
      </c>
      <c r="B7" s="1">
        <v>1630.6669999999999</v>
      </c>
      <c r="C7" s="1">
        <v>-381.26405390000002</v>
      </c>
      <c r="D7" s="1">
        <f t="shared" si="6"/>
        <v>-23.380865247165733</v>
      </c>
      <c r="E7" s="1">
        <v>2212</v>
      </c>
      <c r="F7" s="1">
        <v>-449.46872939999997</v>
      </c>
      <c r="G7" s="1">
        <f t="shared" si="0"/>
        <v>-20.319562811934901</v>
      </c>
      <c r="H7" s="1">
        <v>1394.6931999999999</v>
      </c>
      <c r="I7" s="1">
        <v>-2436.1007079999999</v>
      </c>
      <c r="J7" s="1">
        <f t="shared" si="1"/>
        <v>-174.66928984811858</v>
      </c>
      <c r="K7" s="1">
        <v>1258.3340000000001</v>
      </c>
      <c r="L7" s="1">
        <v>-513.78829870000004</v>
      </c>
      <c r="M7" s="1">
        <f t="shared" si="2"/>
        <v>-40.830836542603151</v>
      </c>
      <c r="N7" s="1">
        <v>524168.82499999902</v>
      </c>
      <c r="O7" s="1">
        <v>123260.7792</v>
      </c>
      <c r="P7" s="1">
        <f t="shared" si="3"/>
        <v>23.51547313024582</v>
      </c>
      <c r="Q7" s="1">
        <v>1254.7470000000001</v>
      </c>
      <c r="R7" s="1">
        <v>-255.90849309999999</v>
      </c>
      <c r="S7" s="1">
        <f t="shared" si="4"/>
        <v>-20.395226535707994</v>
      </c>
      <c r="T7" s="1">
        <v>11460</v>
      </c>
      <c r="U7" s="1">
        <v>426.28654469999998</v>
      </c>
      <c r="V7" s="1">
        <f t="shared" si="5"/>
        <v>3.7197778769633505</v>
      </c>
    </row>
    <row r="8" spans="1:22" x14ac:dyDescent="0.3">
      <c r="A8" s="1">
        <v>2004</v>
      </c>
      <c r="B8" s="1">
        <v>1704.0188000000001</v>
      </c>
      <c r="C8" s="1">
        <v>-318.83093689999998</v>
      </c>
      <c r="D8" s="1">
        <f t="shared" si="6"/>
        <v>-18.710529302845718</v>
      </c>
      <c r="E8" s="1">
        <v>2263</v>
      </c>
      <c r="F8" s="1">
        <v>-534.77387539999995</v>
      </c>
      <c r="G8" s="1">
        <f t="shared" si="0"/>
        <v>-23.631192019443215</v>
      </c>
      <c r="H8" s="1">
        <v>1452.3190999999999</v>
      </c>
      <c r="I8" s="1">
        <v>-2548.5614690000002</v>
      </c>
      <c r="J8" s="1">
        <f t="shared" si="1"/>
        <v>-175.48219733528262</v>
      </c>
      <c r="K8" s="1">
        <v>1322.6369999999999</v>
      </c>
      <c r="L8" s="1">
        <v>-537.83632230000001</v>
      </c>
      <c r="M8" s="1">
        <f t="shared" si="2"/>
        <v>-40.663940468926853</v>
      </c>
      <c r="N8" s="1">
        <v>529354.25</v>
      </c>
      <c r="O8" s="1">
        <v>109888.63219999999</v>
      </c>
      <c r="P8" s="1">
        <f t="shared" si="3"/>
        <v>20.758996872132414</v>
      </c>
      <c r="Q8" s="1">
        <v>1335.731</v>
      </c>
      <c r="R8" s="1">
        <v>44.704286109999998</v>
      </c>
      <c r="S8" s="1">
        <f t="shared" si="4"/>
        <v>3.3468030696300373</v>
      </c>
      <c r="T8" s="1">
        <v>12220</v>
      </c>
      <c r="U8" s="1">
        <v>514.61384820000001</v>
      </c>
      <c r="V8" s="1">
        <f t="shared" si="5"/>
        <v>4.2112426202945992</v>
      </c>
    </row>
    <row r="9" spans="1:22" x14ac:dyDescent="0.3">
      <c r="A9" s="1">
        <v>2005</v>
      </c>
      <c r="B9" s="1">
        <v>1765.9046000000001</v>
      </c>
      <c r="C9" s="1">
        <v>-166.4660561</v>
      </c>
      <c r="D9" s="1">
        <f t="shared" si="6"/>
        <v>-9.4266732245898233</v>
      </c>
      <c r="E9" s="1">
        <v>2288</v>
      </c>
      <c r="F9" s="1">
        <v>-564.14514110000005</v>
      </c>
      <c r="G9" s="1">
        <f t="shared" si="0"/>
        <v>-24.656693229895108</v>
      </c>
      <c r="H9" s="1">
        <v>1493.6353999999999</v>
      </c>
      <c r="I9" s="1">
        <v>-1828.314417</v>
      </c>
      <c r="J9" s="1">
        <f t="shared" si="1"/>
        <v>-122.40700889922668</v>
      </c>
      <c r="K9" s="1">
        <v>1398.749</v>
      </c>
      <c r="L9" s="1">
        <v>-468.74620729999998</v>
      </c>
      <c r="M9" s="1">
        <f t="shared" si="2"/>
        <v>-33.511817152326827</v>
      </c>
      <c r="N9" s="1">
        <v>532643.55000000005</v>
      </c>
      <c r="O9" s="1">
        <v>130315.23420000001</v>
      </c>
      <c r="P9" s="1">
        <f t="shared" si="3"/>
        <v>24.465749036104913</v>
      </c>
      <c r="Q9" s="1">
        <v>1421.59</v>
      </c>
      <c r="R9" s="1">
        <v>1184.8019899999999</v>
      </c>
      <c r="S9" s="1">
        <f t="shared" si="4"/>
        <v>83.343438684852885</v>
      </c>
      <c r="T9" s="1">
        <v>13040</v>
      </c>
      <c r="U9" s="1">
        <v>3363.568327</v>
      </c>
      <c r="V9" s="1">
        <f t="shared" si="5"/>
        <v>25.794235636503064</v>
      </c>
    </row>
    <row r="10" spans="1:22" x14ac:dyDescent="0.3">
      <c r="A10" s="1">
        <v>2006</v>
      </c>
      <c r="B10" s="1">
        <v>1848.1519000000001</v>
      </c>
      <c r="C10" s="1">
        <v>-2.3483353089999999</v>
      </c>
      <c r="D10" s="1">
        <f t="shared" si="6"/>
        <v>-0.12706397720879975</v>
      </c>
      <c r="E10" s="1">
        <v>2385</v>
      </c>
      <c r="F10" s="1">
        <v>-576.64642690000005</v>
      </c>
      <c r="G10" s="1">
        <f t="shared" si="0"/>
        <v>-24.178047249475892</v>
      </c>
      <c r="H10" s="1">
        <v>1552.6867</v>
      </c>
      <c r="I10" s="1">
        <v>-1856.066057</v>
      </c>
      <c r="J10" s="1">
        <f t="shared" si="1"/>
        <v>-119.53899373260555</v>
      </c>
      <c r="K10" s="1">
        <v>1472.038</v>
      </c>
      <c r="L10" s="1">
        <v>-478.03878400000002</v>
      </c>
      <c r="M10" s="1">
        <f t="shared" si="2"/>
        <v>-32.474622530124904</v>
      </c>
      <c r="N10" s="1">
        <v>535176.44999999995</v>
      </c>
      <c r="O10" s="1">
        <v>136699.1059</v>
      </c>
      <c r="P10" s="1">
        <f t="shared" si="3"/>
        <v>25.542810394590422</v>
      </c>
      <c r="Q10" s="1">
        <v>1496.604</v>
      </c>
      <c r="R10" s="1">
        <v>1227.7008969999999</v>
      </c>
      <c r="S10" s="1">
        <f t="shared" si="4"/>
        <v>82.032447928777401</v>
      </c>
      <c r="T10" s="1">
        <v>13820</v>
      </c>
      <c r="U10" s="1">
        <v>3803.2777970000002</v>
      </c>
      <c r="V10" s="1">
        <f t="shared" si="5"/>
        <v>27.52009983357453</v>
      </c>
    </row>
    <row r="11" spans="1:22" x14ac:dyDescent="0.3">
      <c r="A11" s="1">
        <v>2007</v>
      </c>
      <c r="B11" s="1">
        <v>1941.3598</v>
      </c>
      <c r="C11" s="1">
        <v>80.602089059999997</v>
      </c>
      <c r="D11" s="1">
        <f t="shared" si="6"/>
        <v>4.1518367208386611</v>
      </c>
      <c r="E11" s="1">
        <v>2500</v>
      </c>
      <c r="F11" s="1">
        <v>-509.84105360000001</v>
      </c>
      <c r="G11" s="1">
        <f t="shared" si="0"/>
        <v>-20.393642144000001</v>
      </c>
      <c r="H11" s="1">
        <v>1614.8398</v>
      </c>
      <c r="I11" s="1">
        <v>-1852.1007729999999</v>
      </c>
      <c r="J11" s="1">
        <f t="shared" si="1"/>
        <v>-114.69253934662744</v>
      </c>
      <c r="K11" s="1">
        <v>1544.6369999999999</v>
      </c>
      <c r="L11" s="1">
        <v>-500.79462869999998</v>
      </c>
      <c r="M11" s="1">
        <f t="shared" si="2"/>
        <v>-32.421509306069964</v>
      </c>
      <c r="N11" s="1">
        <v>539328.52500000002</v>
      </c>
      <c r="O11" s="1">
        <v>136960.4271</v>
      </c>
      <c r="P11" s="1">
        <f t="shared" si="3"/>
        <v>25.394619559571787</v>
      </c>
      <c r="Q11" s="1">
        <v>1577.6610000000001</v>
      </c>
      <c r="R11" s="1">
        <v>2510.3196189999999</v>
      </c>
      <c r="S11" s="1">
        <f t="shared" si="4"/>
        <v>159.11654144965235</v>
      </c>
      <c r="T11" s="1">
        <v>14470</v>
      </c>
      <c r="U11" s="1">
        <v>6799.4956300000003</v>
      </c>
      <c r="V11" s="1">
        <f t="shared" si="5"/>
        <v>46.990294609536974</v>
      </c>
    </row>
    <row r="12" spans="1:22" x14ac:dyDescent="0.3">
      <c r="A12" s="1">
        <v>2008</v>
      </c>
      <c r="B12" s="1">
        <v>1992.3797</v>
      </c>
      <c r="C12" s="1">
        <v>-211.75221250000001</v>
      </c>
      <c r="D12" s="1">
        <f t="shared" si="6"/>
        <v>-10.628105300410359</v>
      </c>
      <c r="E12" s="1">
        <v>2546</v>
      </c>
      <c r="F12" s="1">
        <v>-497.87357059999999</v>
      </c>
      <c r="G12" s="1">
        <f t="shared" si="0"/>
        <v>-19.555128460329929</v>
      </c>
      <c r="H12" s="1">
        <v>1637.6994</v>
      </c>
      <c r="I12" s="1">
        <v>-1899.7877860000001</v>
      </c>
      <c r="J12" s="1">
        <f t="shared" si="1"/>
        <v>-116.00344886247136</v>
      </c>
      <c r="K12" s="1">
        <v>1593.6</v>
      </c>
      <c r="L12" s="1">
        <v>-596.78027899999995</v>
      </c>
      <c r="M12" s="1">
        <f t="shared" si="2"/>
        <v>-37.44856168423695</v>
      </c>
      <c r="N12" s="1">
        <v>527840.875</v>
      </c>
      <c r="O12" s="1">
        <v>75990.477140000003</v>
      </c>
      <c r="P12" s="1">
        <f t="shared" si="3"/>
        <v>14.396474532215795</v>
      </c>
      <c r="Q12" s="1">
        <v>1657.0409999999999</v>
      </c>
      <c r="R12" s="1">
        <v>2740.4149619999998</v>
      </c>
      <c r="S12" s="1">
        <f t="shared" si="4"/>
        <v>165.38003356585625</v>
      </c>
      <c r="T12" s="1">
        <v>14770</v>
      </c>
      <c r="U12" s="1">
        <v>8181.4827949999999</v>
      </c>
      <c r="V12" s="1">
        <f t="shared" si="5"/>
        <v>55.392571394719027</v>
      </c>
    </row>
    <row r="13" spans="1:22" x14ac:dyDescent="0.3">
      <c r="A13" s="1">
        <v>2009</v>
      </c>
      <c r="B13" s="1">
        <v>1936.4294</v>
      </c>
      <c r="C13" s="1">
        <v>-266.30886850000002</v>
      </c>
      <c r="D13" s="1">
        <f t="shared" si="6"/>
        <v>-13.752573086320627</v>
      </c>
      <c r="E13" s="1">
        <v>2446</v>
      </c>
      <c r="F13" s="1">
        <v>-509.31934890000002</v>
      </c>
      <c r="G13" s="1">
        <f t="shared" si="0"/>
        <v>-20.822540838103027</v>
      </c>
      <c r="H13" s="1">
        <v>1577.2559000000001</v>
      </c>
      <c r="I13" s="1">
        <v>-1942.8152</v>
      </c>
      <c r="J13" s="1">
        <f t="shared" si="1"/>
        <v>-123.17691758198525</v>
      </c>
      <c r="K13" s="1">
        <v>1548.8019999999999</v>
      </c>
      <c r="L13" s="1">
        <v>-791.84069260000001</v>
      </c>
      <c r="M13" s="1">
        <f t="shared" si="2"/>
        <v>-51.126011756183168</v>
      </c>
      <c r="N13" s="1">
        <v>495048.19999999902</v>
      </c>
      <c r="O13" s="1">
        <v>36696.584999999999</v>
      </c>
      <c r="P13" s="1">
        <f t="shared" si="3"/>
        <v>7.4127297099555305</v>
      </c>
      <c r="Q13" s="1">
        <v>1571.3340000000001</v>
      </c>
      <c r="R13" s="1">
        <v>2383.5805380000002</v>
      </c>
      <c r="S13" s="1">
        <f t="shared" si="4"/>
        <v>151.69152694462159</v>
      </c>
      <c r="T13" s="1">
        <v>14480</v>
      </c>
      <c r="U13" s="1">
        <v>4881.959022</v>
      </c>
      <c r="V13" s="1">
        <f t="shared" si="5"/>
        <v>33.715186616022095</v>
      </c>
    </row>
    <row r="14" spans="1:22" x14ac:dyDescent="0.3">
      <c r="A14" s="1">
        <v>2010</v>
      </c>
      <c r="B14" s="1">
        <v>1995.2900999999999</v>
      </c>
      <c r="C14" s="1">
        <v>-279.9942198</v>
      </c>
      <c r="D14" s="1">
        <f t="shared" si="6"/>
        <v>-14.032757432114758</v>
      </c>
      <c r="E14" s="1">
        <v>2564</v>
      </c>
      <c r="F14" s="1">
        <v>-599.055161</v>
      </c>
      <c r="G14" s="1">
        <f t="shared" si="0"/>
        <v>-23.364085842433695</v>
      </c>
      <c r="H14" s="1">
        <v>1611.2795000000001</v>
      </c>
      <c r="I14" s="1">
        <v>-1941.0563569999999</v>
      </c>
      <c r="J14" s="1">
        <f t="shared" si="1"/>
        <v>-120.46676923525681</v>
      </c>
      <c r="K14" s="1">
        <v>1608.5530000000001</v>
      </c>
      <c r="L14" s="1">
        <v>-797.15770080000004</v>
      </c>
      <c r="M14" s="1">
        <f t="shared" si="2"/>
        <v>-49.557440805494132</v>
      </c>
      <c r="N14" s="1">
        <v>505675.125</v>
      </c>
      <c r="O14" s="1">
        <v>-23160.09748</v>
      </c>
      <c r="P14" s="1">
        <f t="shared" si="3"/>
        <v>-4.5800349542604053</v>
      </c>
      <c r="Q14" s="1">
        <v>1666.048</v>
      </c>
      <c r="R14" s="1">
        <v>1915.339391</v>
      </c>
      <c r="S14" s="1">
        <f t="shared" si="4"/>
        <v>114.96303773960894</v>
      </c>
      <c r="T14" s="1">
        <v>15050</v>
      </c>
      <c r="U14" s="1">
        <v>2650.7694929999998</v>
      </c>
      <c r="V14" s="1">
        <f t="shared" si="5"/>
        <v>17.613086332225912</v>
      </c>
    </row>
    <row r="15" spans="1:22" x14ac:dyDescent="0.3">
      <c r="A15" s="1">
        <v>2011</v>
      </c>
      <c r="B15" s="1">
        <v>2058.3676999999998</v>
      </c>
      <c r="C15" s="1">
        <v>-367.5312338</v>
      </c>
      <c r="D15" s="1">
        <f t="shared" si="6"/>
        <v>-17.85547032243073</v>
      </c>
      <c r="E15" s="1">
        <v>2694</v>
      </c>
      <c r="F15" s="1">
        <v>-656.31868580000003</v>
      </c>
      <c r="G15" s="1">
        <f t="shared" si="0"/>
        <v>-24.362237780252414</v>
      </c>
      <c r="H15" s="1">
        <v>1648.7557999999999</v>
      </c>
      <c r="I15" s="1">
        <v>-1870.4638560000001</v>
      </c>
      <c r="J15" s="1">
        <f t="shared" si="1"/>
        <v>-113.44699172551813</v>
      </c>
      <c r="K15" s="1">
        <v>1662.59</v>
      </c>
      <c r="L15" s="1">
        <v>-983.12944660000005</v>
      </c>
      <c r="M15" s="1">
        <f t="shared" si="2"/>
        <v>-59.132404657792968</v>
      </c>
      <c r="N15" s="1">
        <v>497673.1</v>
      </c>
      <c r="O15" s="1">
        <v>-69994.956080000004</v>
      </c>
      <c r="P15" s="1">
        <f t="shared" si="3"/>
        <v>-14.064444327009035</v>
      </c>
      <c r="Q15" s="1">
        <v>1774.0630000000001</v>
      </c>
      <c r="R15" s="1">
        <v>2355.836393</v>
      </c>
      <c r="S15" s="1">
        <f t="shared" si="4"/>
        <v>132.79327695803363</v>
      </c>
      <c r="T15" s="1">
        <v>15600</v>
      </c>
      <c r="U15" s="1">
        <v>3809.3498530000002</v>
      </c>
      <c r="V15" s="1">
        <f t="shared" si="5"/>
        <v>24.418909314102567</v>
      </c>
    </row>
    <row r="16" spans="1:22" x14ac:dyDescent="0.3">
      <c r="A16" s="1">
        <v>2012</v>
      </c>
      <c r="B16" s="1">
        <v>2088.8040000000001</v>
      </c>
      <c r="C16" s="1">
        <v>-562.48133459999997</v>
      </c>
      <c r="D16" s="1">
        <f t="shared" si="6"/>
        <v>-26.928392257004486</v>
      </c>
      <c r="E16" s="1">
        <v>2745</v>
      </c>
      <c r="F16" s="1">
        <v>-644.27872249999996</v>
      </c>
      <c r="G16" s="1">
        <f t="shared" si="0"/>
        <v>-23.470991712204007</v>
      </c>
      <c r="H16" s="1">
        <v>1624.3587</v>
      </c>
      <c r="I16" s="1">
        <v>-2093.2674360000001</v>
      </c>
      <c r="J16" s="1">
        <f t="shared" si="1"/>
        <v>-128.86731459005944</v>
      </c>
      <c r="K16" s="1">
        <v>1713.7149999999999</v>
      </c>
      <c r="L16" s="1">
        <v>-1073.761616</v>
      </c>
      <c r="M16" s="1">
        <f t="shared" si="2"/>
        <v>-62.656953810872871</v>
      </c>
      <c r="N16" s="1">
        <v>500615.2</v>
      </c>
      <c r="O16" s="1">
        <v>-95087.026589999994</v>
      </c>
      <c r="P16" s="1">
        <f t="shared" si="3"/>
        <v>-18.994035057265538</v>
      </c>
      <c r="Q16" s="1">
        <v>1827.201</v>
      </c>
      <c r="R16" s="1">
        <v>2120.6766109999999</v>
      </c>
      <c r="S16" s="1">
        <f t="shared" si="4"/>
        <v>116.06148480654291</v>
      </c>
      <c r="T16" s="1">
        <v>16250</v>
      </c>
      <c r="U16" s="1">
        <v>2261.5283039999999</v>
      </c>
      <c r="V16" s="1">
        <f t="shared" si="5"/>
        <v>13.917097255384615</v>
      </c>
    </row>
    <row r="17" spans="1:22" x14ac:dyDescent="0.3">
      <c r="A17" s="1">
        <v>2013</v>
      </c>
      <c r="B17" s="1">
        <v>2117.1905000000002</v>
      </c>
      <c r="C17" s="1">
        <v>-593.03955370000006</v>
      </c>
      <c r="D17" s="1">
        <f t="shared" si="6"/>
        <v>-28.0106846171849</v>
      </c>
      <c r="E17" s="1">
        <v>2811</v>
      </c>
      <c r="F17" s="1">
        <v>-670.20774319999998</v>
      </c>
      <c r="G17" s="1">
        <f t="shared" si="0"/>
        <v>-23.842324553539665</v>
      </c>
      <c r="H17" s="1">
        <v>1612.7502999999999</v>
      </c>
      <c r="I17" s="1">
        <v>-2184.8930770000002</v>
      </c>
      <c r="J17" s="1">
        <f t="shared" si="1"/>
        <v>-135.47621581592639</v>
      </c>
      <c r="K17" s="1">
        <v>1781.3610000000001</v>
      </c>
      <c r="L17" s="1">
        <v>-1072.0236580000001</v>
      </c>
      <c r="M17" s="1">
        <f t="shared" si="2"/>
        <v>-60.18003414243379</v>
      </c>
      <c r="N17" s="1">
        <v>508968.35</v>
      </c>
      <c r="O17" s="1">
        <v>-76988.975059999997</v>
      </c>
      <c r="P17" s="1">
        <f t="shared" si="3"/>
        <v>-15.126475950813051</v>
      </c>
      <c r="Q17" s="1">
        <v>1902.2470000000001</v>
      </c>
      <c r="R17" s="1">
        <v>2162.068945</v>
      </c>
      <c r="S17" s="1">
        <f t="shared" si="4"/>
        <v>113.65868601711556</v>
      </c>
      <c r="T17" s="1">
        <v>16880</v>
      </c>
      <c r="U17" s="1">
        <v>668.95610480000005</v>
      </c>
      <c r="V17" s="1">
        <f t="shared" si="5"/>
        <v>3.9630100995260666</v>
      </c>
    </row>
    <row r="18" spans="1:22" x14ac:dyDescent="0.3">
      <c r="A18" s="1">
        <v>2014</v>
      </c>
      <c r="B18" s="1">
        <v>2149.7662</v>
      </c>
      <c r="C18" s="1">
        <v>-841.81595600000003</v>
      </c>
      <c r="D18" s="1">
        <f t="shared" si="6"/>
        <v>-39.158488769615971</v>
      </c>
      <c r="E18" s="1">
        <v>2927</v>
      </c>
      <c r="F18" s="1">
        <v>-732.54753040000003</v>
      </c>
      <c r="G18" s="1">
        <f t="shared" si="0"/>
        <v>-25.027247365903655</v>
      </c>
      <c r="H18" s="1">
        <v>1627.4056</v>
      </c>
      <c r="I18" s="1">
        <v>-2406.5817809999999</v>
      </c>
      <c r="J18" s="1">
        <f t="shared" si="1"/>
        <v>-147.87842569793295</v>
      </c>
      <c r="K18" s="1">
        <v>1862.5139999999999</v>
      </c>
      <c r="L18" s="1">
        <v>-1191.5170949999999</v>
      </c>
      <c r="M18" s="1">
        <f t="shared" si="2"/>
        <v>-63.973591339447644</v>
      </c>
      <c r="N18" s="1">
        <v>518725.35</v>
      </c>
      <c r="O18" s="1">
        <v>-81149.933300000004</v>
      </c>
      <c r="P18" s="1">
        <f t="shared" si="3"/>
        <v>-15.644104013810006</v>
      </c>
      <c r="Q18" s="1">
        <v>1994.8979999999999</v>
      </c>
      <c r="R18" s="1">
        <v>2593.0376139999998</v>
      </c>
      <c r="S18" s="1">
        <f t="shared" si="4"/>
        <v>129.98346852821547</v>
      </c>
      <c r="T18" s="1">
        <v>17610</v>
      </c>
      <c r="U18" s="1">
        <v>309.47112820000001</v>
      </c>
      <c r="V18" s="1">
        <f t="shared" si="5"/>
        <v>1.7573601828506531</v>
      </c>
    </row>
    <row r="19" spans="1:22" x14ac:dyDescent="0.3">
      <c r="A19" s="1">
        <v>2015</v>
      </c>
      <c r="B19" s="1">
        <v>2198.4333000000001</v>
      </c>
      <c r="C19" s="1">
        <v>-934.33888899999999</v>
      </c>
      <c r="D19" s="1">
        <f t="shared" si="6"/>
        <v>-42.50021544888353</v>
      </c>
      <c r="E19" s="1">
        <v>3026</v>
      </c>
      <c r="F19" s="1">
        <v>-644.45213039999999</v>
      </c>
      <c r="G19" s="1">
        <f t="shared" si="0"/>
        <v>-21.297162273628555</v>
      </c>
      <c r="H19" s="1">
        <v>1655.355</v>
      </c>
      <c r="I19" s="1">
        <v>-2520.5034019999998</v>
      </c>
      <c r="J19" s="1">
        <f t="shared" si="1"/>
        <v>-152.26361729055097</v>
      </c>
      <c r="K19" s="1">
        <v>1916.451</v>
      </c>
      <c r="L19" s="1">
        <v>-1223.5638220000001</v>
      </c>
      <c r="M19" s="1">
        <f t="shared" si="2"/>
        <v>-63.845296435964194</v>
      </c>
      <c r="N19" s="1">
        <v>538031.22499999998</v>
      </c>
      <c r="O19" s="1">
        <v>-106155.8026</v>
      </c>
      <c r="P19" s="1">
        <f t="shared" si="3"/>
        <v>-19.7304166872471</v>
      </c>
      <c r="Q19" s="1">
        <v>1990.441</v>
      </c>
      <c r="R19" s="1">
        <v>1461.549362</v>
      </c>
      <c r="S19" s="1">
        <f t="shared" si="4"/>
        <v>73.428419229708382</v>
      </c>
      <c r="T19" s="1">
        <v>18300</v>
      </c>
      <c r="U19" s="1">
        <v>-3467.9447949999999</v>
      </c>
      <c r="V19" s="1">
        <f t="shared" si="5"/>
        <v>-18.950518005464481</v>
      </c>
    </row>
    <row r="20" spans="1:22" x14ac:dyDescent="0.3">
      <c r="A20" s="1">
        <v>2016</v>
      </c>
      <c r="B20" s="1">
        <v>2234.1298000000002</v>
      </c>
      <c r="C20" s="1">
        <v>-978.28489509999997</v>
      </c>
      <c r="D20" s="1">
        <f t="shared" si="6"/>
        <v>-43.788185229882345</v>
      </c>
      <c r="E20" s="1">
        <v>3135</v>
      </c>
      <c r="F20" s="1">
        <v>-602.56789930000002</v>
      </c>
      <c r="G20" s="1">
        <f t="shared" si="0"/>
        <v>-19.22066664433812</v>
      </c>
      <c r="H20" s="1">
        <v>1695.7868000000001</v>
      </c>
      <c r="I20" s="1">
        <v>-2529.4691670000002</v>
      </c>
      <c r="J20" s="1">
        <f t="shared" si="1"/>
        <v>-149.16197997295416</v>
      </c>
      <c r="K20" s="1">
        <v>1991.645</v>
      </c>
      <c r="L20" s="1">
        <v>-1413.87141</v>
      </c>
      <c r="M20" s="1">
        <f t="shared" si="2"/>
        <v>-70.990131775492117</v>
      </c>
      <c r="N20" s="1">
        <v>544195.9</v>
      </c>
      <c r="O20" s="1">
        <v>-137922.7487</v>
      </c>
      <c r="P20" s="1">
        <f t="shared" si="3"/>
        <v>-25.344319701783856</v>
      </c>
      <c r="Q20" s="1">
        <v>2025.5350000000001</v>
      </c>
      <c r="R20" s="1">
        <v>1308.5525319999999</v>
      </c>
      <c r="S20" s="1">
        <f t="shared" si="4"/>
        <v>64.602810220509639</v>
      </c>
      <c r="T20" s="1">
        <v>18800</v>
      </c>
      <c r="U20" s="1">
        <v>-4043.0443580000001</v>
      </c>
      <c r="V20" s="1">
        <f t="shared" si="5"/>
        <v>-21.505555095744679</v>
      </c>
    </row>
    <row r="21" spans="1:22" x14ac:dyDescent="0.3">
      <c r="A21" s="1">
        <v>2017</v>
      </c>
      <c r="B21" s="1">
        <v>2297.2442000000001</v>
      </c>
      <c r="C21" s="1">
        <v>-946.33535859999995</v>
      </c>
      <c r="D21" s="1">
        <f t="shared" si="6"/>
        <v>-41.194373615134168</v>
      </c>
      <c r="E21" s="1">
        <v>3267</v>
      </c>
      <c r="F21" s="1">
        <v>-459.62233809999998</v>
      </c>
      <c r="G21" s="1">
        <f t="shared" si="0"/>
        <v>-14.068635999387816</v>
      </c>
      <c r="H21" s="1">
        <v>1736.5927999999999</v>
      </c>
      <c r="I21" s="1">
        <v>-2541.6398629999999</v>
      </c>
      <c r="J21" s="1">
        <f t="shared" si="1"/>
        <v>-146.35784871387236</v>
      </c>
      <c r="K21" s="1">
        <v>2082.482</v>
      </c>
      <c r="L21" s="1">
        <v>-1721.2838839999999</v>
      </c>
      <c r="M21" s="1">
        <f t="shared" si="2"/>
        <v>-82.655402735773947</v>
      </c>
      <c r="N21" s="1">
        <v>553041.22499999998</v>
      </c>
      <c r="O21" s="1">
        <v>2199.7455369999998</v>
      </c>
      <c r="P21" s="1">
        <f t="shared" si="3"/>
        <v>0.39775435131440701</v>
      </c>
      <c r="Q21" s="1">
        <v>2140.6410000000001</v>
      </c>
      <c r="R21" s="1">
        <v>1267.673837</v>
      </c>
      <c r="S21" s="1">
        <f t="shared" si="4"/>
        <v>59.219357052396923</v>
      </c>
      <c r="T21" s="1">
        <v>19610</v>
      </c>
      <c r="U21" s="1">
        <v>-3385.2125099999998</v>
      </c>
      <c r="V21" s="1">
        <f t="shared" si="5"/>
        <v>-17.262684905660379</v>
      </c>
    </row>
    <row r="22" spans="1:22" x14ac:dyDescent="0.3">
      <c r="A22" s="1">
        <v>2018</v>
      </c>
      <c r="B22" s="1">
        <v>2363.3074000000001</v>
      </c>
      <c r="C22" s="1">
        <v>-964.70885099999998</v>
      </c>
      <c r="D22" s="1">
        <f t="shared" si="6"/>
        <v>-40.820286476486295</v>
      </c>
      <c r="E22" s="1">
        <v>3365</v>
      </c>
      <c r="F22" s="1">
        <v>-308.66368510000001</v>
      </c>
      <c r="G22" s="1">
        <f t="shared" si="0"/>
        <v>-9.1727692451708762</v>
      </c>
      <c r="H22" s="1">
        <v>1771.3911000000001</v>
      </c>
      <c r="I22" s="1">
        <v>-2540.768877</v>
      </c>
      <c r="J22" s="1">
        <f t="shared" si="1"/>
        <v>-143.43353520292609</v>
      </c>
      <c r="K22" s="1">
        <v>2152.3040000000001</v>
      </c>
      <c r="L22" s="1">
        <v>-1642.6646940000001</v>
      </c>
      <c r="M22" s="1">
        <f t="shared" si="2"/>
        <v>-76.321221072859586</v>
      </c>
      <c r="N22" s="1">
        <v>556537.55000000005</v>
      </c>
      <c r="O22" s="1">
        <v>-15405.9031</v>
      </c>
      <c r="P22" s="1">
        <f t="shared" si="3"/>
        <v>-2.7681695691512633</v>
      </c>
      <c r="Q22" s="1">
        <v>2235.6750000000002</v>
      </c>
      <c r="R22" s="1">
        <v>1823.41985</v>
      </c>
      <c r="S22" s="1">
        <f t="shared" si="4"/>
        <v>81.56014850101198</v>
      </c>
      <c r="T22" s="1">
        <v>20660</v>
      </c>
      <c r="U22" s="1">
        <v>-2779.0302409999999</v>
      </c>
      <c r="V22" s="1">
        <f t="shared" si="5"/>
        <v>-13.451259636979671</v>
      </c>
    </row>
    <row r="23" spans="1:22" x14ac:dyDescent="0.3">
      <c r="A23" s="1">
        <v>2019</v>
      </c>
      <c r="B23" s="1">
        <v>2437.6372999999999</v>
      </c>
      <c r="C23" s="1">
        <v>-975.93362320000006</v>
      </c>
      <c r="D23" s="1">
        <f t="shared" si="6"/>
        <v>-40.036047331569804</v>
      </c>
      <c r="E23" s="1">
        <v>3474</v>
      </c>
      <c r="F23" s="1">
        <v>-168.42196799999999</v>
      </c>
      <c r="G23" s="1">
        <f t="shared" si="0"/>
        <v>-4.8480704663212437</v>
      </c>
      <c r="H23" s="1">
        <v>1796.6484</v>
      </c>
      <c r="I23" s="1">
        <v>-2720.9175989999999</v>
      </c>
      <c r="J23" s="1">
        <f t="shared" si="1"/>
        <v>-151.44407770602191</v>
      </c>
      <c r="K23" s="1">
        <v>2233.9209999999998</v>
      </c>
      <c r="L23" s="1">
        <v>-1794.8422370000001</v>
      </c>
      <c r="M23" s="1">
        <f t="shared" si="2"/>
        <v>-80.344928804554868</v>
      </c>
      <c r="N23" s="1">
        <v>557819.57499999995</v>
      </c>
      <c r="O23" s="1">
        <v>-61901.310149999998</v>
      </c>
      <c r="P23" s="1">
        <f t="shared" si="3"/>
        <v>-11.097012891668422</v>
      </c>
      <c r="Q23" s="1">
        <v>2313.5630000000001</v>
      </c>
      <c r="R23" s="1">
        <v>1584.7484030000001</v>
      </c>
      <c r="S23" s="1">
        <f t="shared" si="4"/>
        <v>68.498173725980223</v>
      </c>
      <c r="T23" s="1">
        <v>21540</v>
      </c>
      <c r="U23" s="1">
        <v>-4192.9030419999999</v>
      </c>
      <c r="V23" s="1">
        <f t="shared" si="5"/>
        <v>-19.465659433611883</v>
      </c>
    </row>
    <row r="24" spans="1:22" x14ac:dyDescent="0.3">
      <c r="A24" s="1">
        <v>2020</v>
      </c>
      <c r="B24" s="1">
        <v>2317.8330999999998</v>
      </c>
      <c r="C24" s="1">
        <v>-1024.901615</v>
      </c>
      <c r="D24" s="1">
        <f t="shared" si="6"/>
        <v>-44.218093830828458</v>
      </c>
      <c r="E24" s="1">
        <v>3404</v>
      </c>
      <c r="F24" s="1">
        <v>-216.85813089999999</v>
      </c>
      <c r="G24" s="1">
        <f t="shared" si="0"/>
        <v>-6.3706853965922443</v>
      </c>
      <c r="H24" s="1">
        <v>1661.2397000000001</v>
      </c>
      <c r="I24" s="1">
        <v>-2868.3487070000001</v>
      </c>
      <c r="J24" s="1">
        <f t="shared" si="1"/>
        <v>-172.66314469850437</v>
      </c>
      <c r="K24" s="1">
        <v>2103.4859999999999</v>
      </c>
      <c r="L24" s="1">
        <v>-2183.0890020000002</v>
      </c>
      <c r="M24" s="1">
        <f t="shared" si="2"/>
        <v>-103.78433714319945</v>
      </c>
      <c r="N24" s="1">
        <v>539393.19999999995</v>
      </c>
      <c r="O24" s="1">
        <v>-84481.714779999995</v>
      </c>
      <c r="P24" s="1">
        <f t="shared" si="3"/>
        <v>-15.662361850316245</v>
      </c>
      <c r="Q24" s="1">
        <v>2220.527</v>
      </c>
      <c r="R24" s="1">
        <v>1085.3132439999999</v>
      </c>
      <c r="S24" s="1">
        <f t="shared" si="4"/>
        <v>48.876381327495679</v>
      </c>
      <c r="T24" s="1">
        <v>21350</v>
      </c>
      <c r="U24" s="1">
        <v>-7143.8483249999999</v>
      </c>
      <c r="V24" s="1">
        <f t="shared" si="5"/>
        <v>-33.460647892271659</v>
      </c>
    </row>
    <row r="26" spans="1:22" x14ac:dyDescent="0.3">
      <c r="A26" s="3" t="s">
        <v>11</v>
      </c>
      <c r="B26" s="2"/>
    </row>
  </sheetData>
  <mergeCells count="9">
    <mergeCell ref="A1:V1"/>
    <mergeCell ref="A2:A3"/>
    <mergeCell ref="T2:V2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Soheyl Hatamy</dc:creator>
  <cp:lastModifiedBy>Soheil Hataminia</cp:lastModifiedBy>
  <cp:lastPrinted>2025-07-24T12:31:59Z</cp:lastPrinted>
  <dcterms:created xsi:type="dcterms:W3CDTF">2025-07-24T12:23:47Z</dcterms:created>
  <dcterms:modified xsi:type="dcterms:W3CDTF">2026-04-14T18:26:01Z</dcterms:modified>
</cp:coreProperties>
</file>